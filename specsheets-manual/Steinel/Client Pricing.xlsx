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len/Library/Mobile Documents/com~apple~CloudDocs/LumenX/Catalogues/Steinel/"/>
    </mc:Choice>
  </mc:AlternateContent>
  <xr:revisionPtr revIDLastSave="0" documentId="8_{13868F77-8324-C048-84D4-6B1A670E89EB}" xr6:coauthVersionLast="47" xr6:coauthVersionMax="47" xr10:uidLastSave="{00000000-0000-0000-0000-000000000000}"/>
  <bookViews>
    <workbookView xWindow="580" yWindow="640" windowWidth="27640" windowHeight="15680" xr2:uid="{8CDC2264-2A21-6849-9757-B9B6D84781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1" i="1" l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J31" i="1"/>
  <c r="I31" i="1"/>
  <c r="K28" i="1"/>
  <c r="K29" i="1"/>
  <c r="J28" i="1"/>
  <c r="J27" i="1"/>
  <c r="K26" i="1"/>
  <c r="K25" i="1"/>
</calcChain>
</file>

<file path=xl/sharedStrings.xml><?xml version="1.0" encoding="utf-8"?>
<sst xmlns="http://schemas.openxmlformats.org/spreadsheetml/2006/main" count="47" uniqueCount="47">
  <si>
    <t>Sensor type</t>
  </si>
  <si>
    <t>Dali2 IPD</t>
  </si>
  <si>
    <t>Dali2APC</t>
  </si>
  <si>
    <t>KNX</t>
  </si>
  <si>
    <t>Com1</t>
  </si>
  <si>
    <t>Application</t>
  </si>
  <si>
    <r>
      <t>Remotes - RC 1-9 @ R</t>
    </r>
    <r>
      <rPr>
        <sz val="10"/>
        <color theme="1"/>
        <rFont val="Arial"/>
        <family val="2"/>
      </rPr>
      <t>324</t>
    </r>
  </si>
  <si>
    <t>Smart Remote @ R1547</t>
  </si>
  <si>
    <t>https://www.steinel.de/index.php?stoken=64B02C52&amp;lang=0&amp;cl=search&amp;searchcat=a05bee31b69aa41c812d1270a362bd05&amp;searchparam=remotes</t>
  </si>
  <si>
    <t>AP BOX (surface box) @ R212</t>
  </si>
  <si>
    <t>https://www.steinel.de/index.php?cl=details&amp;anid=07f5023355865334b379b80be21b6e4d&amp;cnid=d22f36170f7d35251affff2d61cae12a&amp;lang=0&amp;varselid[0]=6f4045cb6a44bfd9ccffe68fe2c6876f</t>
  </si>
  <si>
    <t>IS2360 surface</t>
  </si>
  <si>
    <t> Small offices, storerooms etc, 3,5m radius</t>
  </si>
  <si>
    <t>https://www.steinel.de/en/group/sensors/motion-detectors/indoor-detectors/is-2360-eco-7m-006556.html?listtype=search&amp;searchparam=is2360&amp;searchcat=a05bee31b69aa41c812d1270a362bd05</t>
  </si>
  <si>
    <t>IS2360 Eco recessed</t>
  </si>
  <si>
    <t>Small offices, storerooms etc, 4m radius</t>
  </si>
  <si>
    <t>https://www.steinel.de/en/group/sensors/motion-detectors/indoor-detectors/is-2360-de-eco-8m-034733.html?listtype=search&amp;searchparam=is2360&amp;searchcat=a05bee31b69aa41c812d1270a362bd05</t>
  </si>
  <si>
    <t>Lightsensor Dual</t>
  </si>
  <si>
    <t> Day/Night switch</t>
  </si>
  <si>
    <t>https://www.steinel.de/en/group/sensors/smart-extensions/photoelectric-lighting-controller/light-sensor-dual-058326.html</t>
  </si>
  <si>
    <t>DualTech </t>
  </si>
  <si>
    <t>https://www.steinel.de/en/group/sensors/presence-detectors/ultrasonic/dualtech-007997.html</t>
  </si>
  <si>
    <t>Sens IQ S</t>
  </si>
  <si>
    <t>IS3360</t>
  </si>
  <si>
    <t> Basement parking etc</t>
  </si>
  <si>
    <t>https://www.steinel.de/index.php?cl=details&amp;anid=a3275eb7ed0ef688e7367058633e677f&amp;cnid=9b974ce6b4479239b0ab0d6ec259ce74&amp;lang=0&amp;varselid[0]=69600bc73dda4358a9d4e366a200ba2c&amp;varselid[1]=5bde920fb82ab28abb3af2180ee1f62d&amp;varselid[2]=2fc01ec765ec0cb3dcc559126de20b30&amp;varselid[3]=6f4045cb6a44bfd9ccffe68fe2c6876f</t>
  </si>
  <si>
    <t>HF360</t>
  </si>
  <si>
    <t> Open plan offices</t>
  </si>
  <si>
    <t>https://www.steinel.de/en/group/sensors/presence-detectors/high-frequency/hf-360-082277.html?listtype=search&amp;searchparam=hf360&amp;searchcat=a05bee31b69aa41c812d1270a362bd05</t>
  </si>
  <si>
    <t>IS2180 Eco</t>
  </si>
  <si>
    <t> outdoor</t>
  </si>
  <si>
    <t>https://www.steinel.de/en/group/sensors/motion-detectors/indoor-detectors/is-2180-eco-034702.html?listtype=search&amp;searchparam=is2180&amp;searchcat=a05bee31b69aa41c812d1270a362bd05</t>
  </si>
  <si>
    <t>DUAL HF</t>
  </si>
  <si>
    <t> Long corridors</t>
  </si>
  <si>
    <t>https://www.steinel.de/en/group/sensors/presence-detectors/high-frequency/dual-hf-002978.html</t>
  </si>
  <si>
    <r>
      <t>IR Quattro</t>
    </r>
    <r>
      <rPr>
        <sz val="11"/>
        <color theme="1"/>
        <rFont val="Calibri"/>
        <family val="2"/>
      </rPr>
      <t> / </t>
    </r>
    <r>
      <rPr>
        <sz val="11"/>
        <color rgb="FFFF0000"/>
        <rFont val="Calibri"/>
        <family val="2"/>
      </rPr>
      <t>Micro</t>
    </r>
  </si>
  <si>
    <t> Small office pro</t>
  </si>
  <si>
    <t>https://www.steinel.de/en/group/sensors/presence-detectors/passive-infrared/ir-quattro-micro-6m-053789.html</t>
  </si>
  <si>
    <t>IR Quattro HD</t>
  </si>
  <si>
    <t> Large meeting rooms</t>
  </si>
  <si>
    <t>https://www.steinel.de/en/group/sensors/presence-detectors/passive-infrared/ir-quattro-hd-24m-002794.html</t>
  </si>
  <si>
    <t>IS345MX HB</t>
  </si>
  <si>
    <t> Highbay corridors</t>
  </si>
  <si>
    <t>https://www.steinel.de/index.php?cl=details&amp;anid=08b52237ba8453a9fb0cfa2a378b77b9&amp;cnid=8e9358961a49b3394f3828a442d01208&amp;lang=0&amp;varselid[0]=69600bc73dda4358a9d4e366a200ba2c</t>
  </si>
  <si>
    <t>IS3360 MX HB</t>
  </si>
  <si>
    <t> Highbay 360 degree</t>
  </si>
  <si>
    <t>https://www.steinel.de/index.php?cl=details&amp;anid=006b491dc2e7155b928e80b7328cb76d&amp;cnid=8e9358961a49b3394f3828a442d01208&amp;lang=0&amp;varselid[0]=69600bc73dda4358a9d4e366a200ba2c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</si>
</sst>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-1C09]* #,##0.00_-;\-[$R-1C09]* #,##0.00_-;_-[$R-1C09]* &quot;-&quot;??_-;_-@_-"/>
  </numFmts>
  <fonts count="1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Helvetic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168" fontId="3" fillId="0" borderId="0" xfId="0" applyNumberFormat="1" applyFont="1"/>
    <xf numFmtId="168" fontId="2" fillId="0" borderId="0" xfId="0" applyNumberFormat="1" applyFont="1"/>
    <xf numFmtId="168" fontId="6" fillId="0" borderId="0" xfId="0" applyNumberFormat="1" applyFont="1"/>
    <xf numFmtId="168" fontId="9" fillId="0" borderId="0" xfId="0" applyNumberFormat="1" applyFont="1"/>
    <xf numFmtId="168" fontId="0" fillId="0" borderId="0" xfId="0" applyNumberFormat="1"/>
    <xf numFmtId="168" fontId="1" fillId="0" borderId="0" xfId="0" applyNumberFormat="1" applyFont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10" fillId="0" borderId="1" xfId="1" applyBorder="1" applyAlignment="1"/>
    <xf numFmtId="0" fontId="8" fillId="0" borderId="1" xfId="0" applyFont="1" applyBorder="1"/>
    <xf numFmtId="0" fontId="3" fillId="0" borderId="1" xfId="0" applyFont="1" applyBorder="1"/>
    <xf numFmtId="0" fontId="10" fillId="0" borderId="1" xfId="1" applyBorder="1"/>
    <xf numFmtId="168" fontId="2" fillId="0" borderId="1" xfId="0" applyNumberFormat="1" applyFont="1" applyBorder="1"/>
    <xf numFmtId="168" fontId="3" fillId="0" borderId="1" xfId="0" applyNumberFormat="1" applyFont="1" applyBorder="1"/>
    <xf numFmtId="168" fontId="6" fillId="0" borderId="1" xfId="0" applyNumberFormat="1" applyFont="1" applyBorder="1"/>
    <xf numFmtId="0" fontId="2" fillId="0" borderId="1" xfId="0" applyFont="1" applyBorder="1"/>
    <xf numFmtId="168" fontId="9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inel.de/en/group/sensors/presence-detectors/high-frequency/hf-360-082277.html?listtype=search&amp;searchparam=hf360&amp;searchcat=a05bee31b69aa41c812d1270a362bd05" TargetMode="External"/><Relationship Id="rId13" Type="http://schemas.openxmlformats.org/officeDocument/2006/relationships/hyperlink" Target="https://www.steinel.de/index.php?cl=details&amp;anid=08b52237ba8453a9fb0cfa2a378b77b9&amp;cnid=8e9358961a49b3394f3828a442d01208&amp;lang=0&amp;varselid%5b0%5d=69600bc73dda4358a9d4e366a200ba2c" TargetMode="External"/><Relationship Id="rId3" Type="http://schemas.openxmlformats.org/officeDocument/2006/relationships/hyperlink" Target="https://www.steinel.de/en/group/sensors/motion-detectors/indoor-detectors/is-2360-eco-7m-006556.html?listtype=search&amp;searchparam=is2360&amp;searchcat=a05bee31b69aa41c812d1270a362bd05" TargetMode="External"/><Relationship Id="rId7" Type="http://schemas.openxmlformats.org/officeDocument/2006/relationships/hyperlink" Target="https://www.steinel.de/index.php?cl=details&amp;anid=a3275eb7ed0ef688e7367058633e677f&amp;cnid=9b974ce6b4479239b0ab0d6ec259ce74&amp;lang=0&amp;varselid%5b0%5d=69600bc73dda4358a9d4e366a200ba2c&amp;varselid%5b1%5d=5bde920fb82ab28abb3af2180ee1f62d&amp;varselid%5b2%5d=2fc01ec765ec0cb3dcc559126de20b30&amp;varselid%5b3%5d=6f4045cb6a44bfd9ccffe68fe2c6876f" TargetMode="External"/><Relationship Id="rId12" Type="http://schemas.openxmlformats.org/officeDocument/2006/relationships/hyperlink" Target="https://www.steinel.de/en/group/sensors/presence-detectors/passive-infrared/ir-quattro-hd-24m-002794.html" TargetMode="External"/><Relationship Id="rId2" Type="http://schemas.openxmlformats.org/officeDocument/2006/relationships/hyperlink" Target="https://www.steinel.de/index.php?cl=details&amp;anid=07f5023355865334b379b80be21b6e4d&amp;cnid=d22f36170f7d35251affff2d61cae12a&amp;lang=0&amp;varselid%5b0%5d=6f4045cb6a44bfd9ccffe68fe2c6876f" TargetMode="External"/><Relationship Id="rId1" Type="http://schemas.openxmlformats.org/officeDocument/2006/relationships/hyperlink" Target="https://www.steinel.de/index.php?stoken=64B02C52&amp;lang=0&amp;cl=search&amp;searchcat=a05bee31b69aa41c812d1270a362bd05&amp;searchparam=remotes" TargetMode="External"/><Relationship Id="rId6" Type="http://schemas.openxmlformats.org/officeDocument/2006/relationships/hyperlink" Target="https://www.steinel.de/en/group/sensors/presence-detectors/ultrasonic/dualtech-007997.html" TargetMode="External"/><Relationship Id="rId11" Type="http://schemas.openxmlformats.org/officeDocument/2006/relationships/hyperlink" Target="https://www.steinel.de/en/group/sensors/presence-detectors/passive-infrared/ir-quattro-micro-6m-053789.html" TargetMode="External"/><Relationship Id="rId5" Type="http://schemas.openxmlformats.org/officeDocument/2006/relationships/hyperlink" Target="https://www.steinel.de/en/group/sensors/smart-extensions/photoelectric-lighting-controller/light-sensor-dual-058326.html" TargetMode="External"/><Relationship Id="rId10" Type="http://schemas.openxmlformats.org/officeDocument/2006/relationships/hyperlink" Target="https://www.steinel.de/en/group/sensors/presence-detectors/high-frequency/dual-hf-002978.html" TargetMode="External"/><Relationship Id="rId4" Type="http://schemas.openxmlformats.org/officeDocument/2006/relationships/hyperlink" Target="https://www.steinel.de/en/group/sensors/motion-detectors/indoor-detectors/is-2360-de-eco-8m-034733.html?listtype=search&amp;searchparam=is2360&amp;searchcat=a05bee31b69aa41c812d1270a362bd05" TargetMode="External"/><Relationship Id="rId9" Type="http://schemas.openxmlformats.org/officeDocument/2006/relationships/hyperlink" Target="https://www.steinel.de/en/group/sensors/motion-detectors/indoor-detectors/is-2180-eco-034702.html?listtype=search&amp;searchparam=is2180&amp;searchcat=a05bee31b69aa41c812d1270a362bd05" TargetMode="External"/><Relationship Id="rId14" Type="http://schemas.openxmlformats.org/officeDocument/2006/relationships/hyperlink" Target="https://www.steinel.de/index.php?cl=details&amp;anid=006b491dc2e7155b928e80b7328cb76d&amp;cnid=8e9358961a49b3394f3828a442d01208&amp;lang=0&amp;varselid%5b0%5d=69600bc73dda4358a9d4e366a200ba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7587-AFA9-BA4A-B987-13B1A2DC25B8}">
  <dimension ref="A1:K39"/>
  <sheetViews>
    <sheetView tabSelected="1" workbookViewId="0">
      <selection activeCell="F21" sqref="F21"/>
    </sheetView>
  </sheetViews>
  <sheetFormatPr baseColWidth="10" defaultRowHeight="16" x14ac:dyDescent="0.2"/>
  <cols>
    <col min="2" max="2" width="25.33203125" bestFit="1" customWidth="1"/>
    <col min="7" max="7" width="33.5" bestFit="1" customWidth="1"/>
    <col min="8" max="8" width="255.83203125" bestFit="1" customWidth="1"/>
  </cols>
  <sheetData>
    <row r="1" spans="1:8" x14ac:dyDescent="0.2">
      <c r="A1" s="1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3" t="s">
        <v>5</v>
      </c>
      <c r="H1" s="14"/>
    </row>
    <row r="2" spans="1:8" x14ac:dyDescent="0.2">
      <c r="A2" s="4"/>
      <c r="B2" s="15" t="s">
        <v>6</v>
      </c>
      <c r="C2" s="16"/>
      <c r="D2" s="16"/>
      <c r="E2" s="16"/>
      <c r="F2" s="16"/>
      <c r="G2" s="16"/>
      <c r="H2" s="17" t="s">
        <v>8</v>
      </c>
    </row>
    <row r="3" spans="1:8" x14ac:dyDescent="0.2">
      <c r="A3" s="4"/>
      <c r="B3" s="18" t="s">
        <v>7</v>
      </c>
      <c r="C3" s="16"/>
      <c r="D3" s="16"/>
      <c r="E3" s="16"/>
      <c r="F3" s="16"/>
      <c r="G3" s="16"/>
      <c r="H3" s="17"/>
    </row>
    <row r="4" spans="1:8" x14ac:dyDescent="0.2">
      <c r="A4" s="2"/>
      <c r="B4" s="15" t="s">
        <v>9</v>
      </c>
      <c r="C4" s="19"/>
      <c r="D4" s="19"/>
      <c r="E4" s="19"/>
      <c r="F4" s="19"/>
      <c r="G4" s="19"/>
      <c r="H4" s="20" t="s">
        <v>10</v>
      </c>
    </row>
    <row r="5" spans="1:8" x14ac:dyDescent="0.2">
      <c r="A5" s="3"/>
      <c r="B5" s="19" t="s">
        <v>11</v>
      </c>
      <c r="C5" s="21"/>
      <c r="D5" s="22"/>
      <c r="E5" s="22"/>
      <c r="F5" s="22">
        <v>1665.7142857142858</v>
      </c>
      <c r="G5" s="19" t="s">
        <v>12</v>
      </c>
      <c r="H5" s="20" t="s">
        <v>13</v>
      </c>
    </row>
    <row r="6" spans="1:8" x14ac:dyDescent="0.2">
      <c r="A6" s="1"/>
      <c r="B6" s="19" t="s">
        <v>14</v>
      </c>
      <c r="C6" s="23"/>
      <c r="D6" s="22"/>
      <c r="E6" s="22"/>
      <c r="F6" s="22">
        <v>1181.4285714285716</v>
      </c>
      <c r="G6" s="19" t="s">
        <v>15</v>
      </c>
      <c r="H6" s="20" t="s">
        <v>16</v>
      </c>
    </row>
    <row r="7" spans="1:8" x14ac:dyDescent="0.2">
      <c r="A7" s="2"/>
      <c r="B7" s="19" t="s">
        <v>17</v>
      </c>
      <c r="C7" s="22">
        <v>2247.1428571428573</v>
      </c>
      <c r="D7" s="22"/>
      <c r="E7" s="22">
        <v>3104.2857142857147</v>
      </c>
      <c r="F7" s="22"/>
      <c r="G7" s="19" t="s">
        <v>18</v>
      </c>
      <c r="H7" s="20" t="s">
        <v>19</v>
      </c>
    </row>
    <row r="8" spans="1:8" x14ac:dyDescent="0.2">
      <c r="A8" s="2"/>
      <c r="B8" s="19" t="s">
        <v>20</v>
      </c>
      <c r="C8" s="22">
        <v>4007.1428571428573</v>
      </c>
      <c r="D8" s="22"/>
      <c r="E8" s="22">
        <v>4735.7142857142862</v>
      </c>
      <c r="F8" s="22">
        <v>4155.7142857142862</v>
      </c>
      <c r="G8" s="19"/>
      <c r="H8" s="20" t="s">
        <v>21</v>
      </c>
    </row>
    <row r="9" spans="1:8" x14ac:dyDescent="0.2">
      <c r="A9" s="2"/>
      <c r="B9" s="14" t="s">
        <v>22</v>
      </c>
      <c r="C9" s="22"/>
      <c r="D9" s="22"/>
      <c r="E9" s="22"/>
      <c r="F9" s="23">
        <v>3237.1428571428573</v>
      </c>
      <c r="G9" s="24"/>
      <c r="H9" s="14"/>
    </row>
    <row r="10" spans="1:8" x14ac:dyDescent="0.2">
      <c r="A10" s="3"/>
      <c r="B10" s="19" t="s">
        <v>23</v>
      </c>
      <c r="C10" s="22">
        <v>3061.4285714285716</v>
      </c>
      <c r="D10" s="22">
        <v>3855.7142857142858</v>
      </c>
      <c r="E10" s="22">
        <v>3742.8571428571431</v>
      </c>
      <c r="F10" s="22">
        <v>2404.2857142857142</v>
      </c>
      <c r="G10" s="19" t="s">
        <v>24</v>
      </c>
      <c r="H10" s="20" t="s">
        <v>25</v>
      </c>
    </row>
    <row r="11" spans="1:8" x14ac:dyDescent="0.2">
      <c r="A11" s="3"/>
      <c r="B11" s="19" t="s">
        <v>26</v>
      </c>
      <c r="C11" s="22">
        <v>3562.8571428571431</v>
      </c>
      <c r="D11" s="22">
        <v>4257.1428571428578</v>
      </c>
      <c r="E11" s="22">
        <v>4255.7142857142862</v>
      </c>
      <c r="F11" s="22">
        <v>3075.7142857142858</v>
      </c>
      <c r="G11" s="19" t="s">
        <v>27</v>
      </c>
      <c r="H11" s="20" t="s">
        <v>28</v>
      </c>
    </row>
    <row r="12" spans="1:8" x14ac:dyDescent="0.2">
      <c r="A12" s="1"/>
      <c r="B12" s="19" t="s">
        <v>29</v>
      </c>
      <c r="C12" s="22">
        <v>0</v>
      </c>
      <c r="D12" s="22">
        <v>0</v>
      </c>
      <c r="E12" s="22">
        <v>0</v>
      </c>
      <c r="F12" s="22">
        <v>1324.2857142857144</v>
      </c>
      <c r="G12" s="19" t="s">
        <v>30</v>
      </c>
      <c r="H12" s="20" t="s">
        <v>31</v>
      </c>
    </row>
    <row r="13" spans="1:8" x14ac:dyDescent="0.2">
      <c r="A13" s="3"/>
      <c r="B13" s="19" t="s">
        <v>32</v>
      </c>
      <c r="C13" s="22">
        <v>4622.8571428571431</v>
      </c>
      <c r="D13" s="22">
        <v>4378.5714285714284</v>
      </c>
      <c r="E13" s="22">
        <v>4377.1428571428578</v>
      </c>
      <c r="F13" s="22">
        <v>3740.0000000000005</v>
      </c>
      <c r="G13" s="19" t="s">
        <v>33</v>
      </c>
      <c r="H13" s="20" t="s">
        <v>34</v>
      </c>
    </row>
    <row r="14" spans="1:8" x14ac:dyDescent="0.2">
      <c r="A14" s="1"/>
      <c r="B14" s="19" t="s">
        <v>35</v>
      </c>
      <c r="C14" s="25">
        <v>3562.8571428571431</v>
      </c>
      <c r="D14" s="22">
        <v>4257.1428571428578</v>
      </c>
      <c r="E14" s="25">
        <v>4255.7142857142862</v>
      </c>
      <c r="F14" s="25">
        <v>3075.7142857142858</v>
      </c>
      <c r="G14" s="19" t="s">
        <v>36</v>
      </c>
      <c r="H14" s="20" t="s">
        <v>37</v>
      </c>
    </row>
    <row r="15" spans="1:8" x14ac:dyDescent="0.2">
      <c r="A15" s="1"/>
      <c r="B15" s="19" t="s">
        <v>38</v>
      </c>
      <c r="C15" s="22">
        <v>4375.7142857142862</v>
      </c>
      <c r="D15" s="22">
        <v>5694.2857142857147</v>
      </c>
      <c r="E15" s="22">
        <v>4495.7142857142862</v>
      </c>
      <c r="F15" s="22">
        <v>4034.2857142857147</v>
      </c>
      <c r="G15" s="19" t="s">
        <v>39</v>
      </c>
      <c r="H15" s="20" t="s">
        <v>40</v>
      </c>
    </row>
    <row r="16" spans="1:8" x14ac:dyDescent="0.2">
      <c r="A16" s="3"/>
      <c r="B16" s="19" t="s">
        <v>41</v>
      </c>
      <c r="C16" s="22">
        <v>3297.1428571428573</v>
      </c>
      <c r="D16" s="22">
        <v>3594.2857142857147</v>
      </c>
      <c r="E16" s="22">
        <v>3592.8571428571431</v>
      </c>
      <c r="F16" s="22">
        <v>2852.8571428571431</v>
      </c>
      <c r="G16" s="19" t="s">
        <v>42</v>
      </c>
      <c r="H16" s="20" t="s">
        <v>43</v>
      </c>
    </row>
    <row r="17" spans="1:11" x14ac:dyDescent="0.2">
      <c r="A17" s="3"/>
      <c r="B17" s="19" t="s">
        <v>44</v>
      </c>
      <c r="C17" s="22">
        <v>3297.1428571428573</v>
      </c>
      <c r="D17" s="22">
        <v>3594.2857142857147</v>
      </c>
      <c r="E17" s="22">
        <v>3594.2857142857147</v>
      </c>
      <c r="F17" s="22">
        <v>2792.8571428571431</v>
      </c>
      <c r="G17" s="19" t="s">
        <v>45</v>
      </c>
      <c r="H17" s="20" t="s">
        <v>46</v>
      </c>
    </row>
    <row r="18" spans="1:11" x14ac:dyDescent="0.2">
      <c r="A18" s="1"/>
    </row>
    <row r="22" spans="1:11" x14ac:dyDescent="0.2">
      <c r="C22" s="5"/>
      <c r="D22" s="5"/>
      <c r="E22" s="5"/>
      <c r="F22" s="5"/>
    </row>
    <row r="23" spans="1:11" x14ac:dyDescent="0.2">
      <c r="C23" s="5"/>
      <c r="D23" s="5"/>
      <c r="E23" s="5"/>
      <c r="F23" s="5"/>
      <c r="K23">
        <v>0.7</v>
      </c>
    </row>
    <row r="24" spans="1:11" x14ac:dyDescent="0.2">
      <c r="C24" s="6"/>
      <c r="D24" s="6"/>
      <c r="E24" s="6"/>
      <c r="F24" s="6"/>
    </row>
    <row r="25" spans="1:11" x14ac:dyDescent="0.2">
      <c r="C25" s="7"/>
      <c r="D25" s="6"/>
      <c r="E25" s="6"/>
      <c r="F25" s="6"/>
      <c r="K25" s="10">
        <f>F25/$K$23</f>
        <v>0</v>
      </c>
    </row>
    <row r="26" spans="1:11" x14ac:dyDescent="0.2">
      <c r="C26" s="8"/>
      <c r="D26" s="6"/>
      <c r="E26" s="6"/>
      <c r="F26" s="6"/>
      <c r="K26" s="10">
        <f>F26/$K$23</f>
        <v>0</v>
      </c>
    </row>
    <row r="27" spans="1:11" x14ac:dyDescent="0.2">
      <c r="C27" s="6"/>
      <c r="D27" s="6"/>
      <c r="E27" s="6"/>
      <c r="F27" s="6"/>
      <c r="H27" s="10"/>
      <c r="J27" s="10">
        <f>E27/$K$23</f>
        <v>0</v>
      </c>
    </row>
    <row r="28" spans="1:11" x14ac:dyDescent="0.2">
      <c r="C28" s="6"/>
      <c r="D28" s="6"/>
      <c r="E28" s="6"/>
      <c r="F28" s="6"/>
      <c r="H28" s="10"/>
      <c r="J28" s="10">
        <f>E28/$K$23</f>
        <v>0</v>
      </c>
      <c r="K28" s="10">
        <f>F28/$K$23</f>
        <v>0</v>
      </c>
    </row>
    <row r="29" spans="1:11" x14ac:dyDescent="0.2">
      <c r="C29" s="6"/>
      <c r="D29" s="6"/>
      <c r="E29" s="6"/>
      <c r="F29" s="8"/>
      <c r="K29" s="10">
        <f>F29/$K$23</f>
        <v>0</v>
      </c>
    </row>
    <row r="30" spans="1:11" x14ac:dyDescent="0.2">
      <c r="C30" s="6"/>
      <c r="D30" s="6"/>
      <c r="E30" s="7"/>
      <c r="F30" s="6"/>
      <c r="K30" s="10"/>
    </row>
    <row r="31" spans="1:11" x14ac:dyDescent="0.2">
      <c r="C31" s="6"/>
      <c r="D31" s="6"/>
      <c r="E31" s="6"/>
      <c r="F31" s="6"/>
      <c r="H31" s="10"/>
      <c r="I31" s="10">
        <f t="shared" ref="I31:I39" si="0">D31/$K$23</f>
        <v>0</v>
      </c>
      <c r="J31" s="10">
        <f t="shared" ref="J31:J39" si="1">E31/$K$23</f>
        <v>0</v>
      </c>
      <c r="K31" s="10">
        <f>F31/$K$23</f>
        <v>0</v>
      </c>
    </row>
    <row r="32" spans="1:11" x14ac:dyDescent="0.2">
      <c r="C32" s="6"/>
      <c r="D32" s="6"/>
      <c r="E32" s="6"/>
      <c r="F32" s="6"/>
      <c r="H32" s="10"/>
      <c r="I32" s="10">
        <f t="shared" si="0"/>
        <v>0</v>
      </c>
      <c r="J32" s="10">
        <f t="shared" si="1"/>
        <v>0</v>
      </c>
      <c r="K32" s="10">
        <f>F32/$K$23</f>
        <v>0</v>
      </c>
    </row>
    <row r="33" spans="3:11" x14ac:dyDescent="0.2">
      <c r="C33" s="6"/>
      <c r="D33" s="6"/>
      <c r="E33" s="6"/>
      <c r="F33" s="6"/>
      <c r="H33" s="10"/>
      <c r="I33" s="10">
        <f t="shared" si="0"/>
        <v>0</v>
      </c>
      <c r="J33" s="10">
        <f t="shared" si="1"/>
        <v>0</v>
      </c>
      <c r="K33" s="10">
        <f>F33/$K$23</f>
        <v>0</v>
      </c>
    </row>
    <row r="34" spans="3:11" x14ac:dyDescent="0.2">
      <c r="C34" s="6"/>
      <c r="D34" s="6"/>
      <c r="E34" s="6"/>
      <c r="F34" s="6"/>
      <c r="H34" s="10"/>
      <c r="I34" s="10">
        <f t="shared" si="0"/>
        <v>0</v>
      </c>
      <c r="J34" s="10">
        <f t="shared" si="1"/>
        <v>0</v>
      </c>
      <c r="K34" s="10">
        <f>F34/$K$23</f>
        <v>0</v>
      </c>
    </row>
    <row r="35" spans="3:11" x14ac:dyDescent="0.2">
      <c r="C35" s="9"/>
      <c r="D35" s="6"/>
      <c r="E35" s="9"/>
      <c r="F35" s="9"/>
      <c r="H35" s="11"/>
      <c r="I35" s="10">
        <f t="shared" si="0"/>
        <v>0</v>
      </c>
      <c r="J35" s="11">
        <f t="shared" si="1"/>
        <v>0</v>
      </c>
      <c r="K35" s="11">
        <f>F35/$K$23</f>
        <v>0</v>
      </c>
    </row>
    <row r="36" spans="3:11" x14ac:dyDescent="0.2">
      <c r="C36" s="6"/>
      <c r="D36" s="6"/>
      <c r="E36" s="6"/>
      <c r="F36" s="6"/>
      <c r="H36" s="10"/>
      <c r="I36" s="10">
        <f t="shared" si="0"/>
        <v>0</v>
      </c>
      <c r="J36" s="10">
        <f t="shared" si="1"/>
        <v>0</v>
      </c>
      <c r="K36" s="10">
        <f>F36/$K$23</f>
        <v>0</v>
      </c>
    </row>
    <row r="37" spans="3:11" x14ac:dyDescent="0.2">
      <c r="C37" s="6"/>
      <c r="D37" s="6"/>
      <c r="E37" s="6"/>
      <c r="F37" s="6"/>
      <c r="H37" s="10"/>
      <c r="I37" s="10">
        <f t="shared" si="0"/>
        <v>0</v>
      </c>
      <c r="J37" s="10">
        <f t="shared" si="1"/>
        <v>0</v>
      </c>
      <c r="K37" s="10">
        <f>F37/$K$23</f>
        <v>0</v>
      </c>
    </row>
    <row r="38" spans="3:11" x14ac:dyDescent="0.2">
      <c r="C38" s="6"/>
      <c r="D38" s="6"/>
      <c r="E38" s="6"/>
      <c r="F38" s="6"/>
      <c r="H38" s="10"/>
      <c r="I38" s="10">
        <f t="shared" si="0"/>
        <v>0</v>
      </c>
      <c r="J38" s="10">
        <f t="shared" si="1"/>
        <v>0</v>
      </c>
      <c r="K38" s="10">
        <f>F38/$K$23</f>
        <v>0</v>
      </c>
    </row>
    <row r="39" spans="3:11" x14ac:dyDescent="0.2">
      <c r="C39" s="6"/>
      <c r="D39" s="6"/>
      <c r="E39" s="6"/>
      <c r="F39" s="6"/>
      <c r="H39" s="10"/>
      <c r="I39" s="10">
        <f t="shared" si="0"/>
        <v>0</v>
      </c>
      <c r="J39" s="10">
        <f t="shared" si="1"/>
        <v>0</v>
      </c>
      <c r="K39" s="10">
        <f>F39/$K$23</f>
        <v>0</v>
      </c>
    </row>
  </sheetData>
  <mergeCells count="10">
    <mergeCell ref="C22:C23"/>
    <mergeCell ref="D22:D23"/>
    <mergeCell ref="E22:E23"/>
    <mergeCell ref="F22:F23"/>
    <mergeCell ref="A2:A3"/>
    <mergeCell ref="C2:C3"/>
    <mergeCell ref="D2:D3"/>
    <mergeCell ref="E2:E3"/>
    <mergeCell ref="F2:F3"/>
    <mergeCell ref="G2:G3"/>
  </mergeCells>
  <hyperlinks>
    <hyperlink ref="H2" r:id="rId1" xr:uid="{6AD8261F-D8B2-3C40-94E9-0C55E6430487}"/>
    <hyperlink ref="H4" r:id="rId2" display="https://www.steinel.de/index.php?cl=details&amp;anid=07f5023355865334b379b80be21b6e4d&amp;cnid=d22f36170f7d35251affff2d61cae12a&amp;lang=0&amp;varselid%5b0%5d=6f4045cb6a44bfd9ccffe68fe2c6876f" xr:uid="{1ADA4EB8-18EC-F74F-81AE-B8DB7E1757E4}"/>
    <hyperlink ref="H5" r:id="rId3" xr:uid="{F740F3C9-53C1-4B4A-9C61-735EDAF1B74C}"/>
    <hyperlink ref="H6" r:id="rId4" xr:uid="{7A94C283-34A2-104C-BA5D-887EAB61F28B}"/>
    <hyperlink ref="H7" r:id="rId5" xr:uid="{C00B9806-541F-0E46-8523-31131E8627D7}"/>
    <hyperlink ref="H8" r:id="rId6" xr:uid="{175F30D2-618E-434C-9701-5A6BC03867F3}"/>
    <hyperlink ref="H10" r:id="rId7" display="https://www.steinel.de/index.php?cl=details&amp;anid=a3275eb7ed0ef688e7367058633e677f&amp;cnid=9b974ce6b4479239b0ab0d6ec259ce74&amp;lang=0&amp;varselid%5b0%5d=69600bc73dda4358a9d4e366a200ba2c&amp;varselid%5b1%5d=5bde920fb82ab28abb3af2180ee1f62d&amp;varselid%5b2%5d=2fc01ec765ec0cb3dcc559126de20b30&amp;varselid%5b3%5d=6f4045cb6a44bfd9ccffe68fe2c6876f" xr:uid="{BFCE3584-AAFB-324E-ACFF-3F76BC48C53F}"/>
    <hyperlink ref="H11" r:id="rId8" xr:uid="{1480C529-C506-2A41-ADF2-E56113A58094}"/>
    <hyperlink ref="H12" r:id="rId9" xr:uid="{A03E99A1-B719-8840-ACA6-98CF734B5CD3}"/>
    <hyperlink ref="H13" r:id="rId10" xr:uid="{06629A4C-9672-5D48-9F11-CCF558CA5061}"/>
    <hyperlink ref="H14" r:id="rId11" xr:uid="{FA004BC5-E73E-9948-BA25-FF7E0E273628}"/>
    <hyperlink ref="H15" r:id="rId12" xr:uid="{54ED9585-A617-5B48-865F-310FCC50FFD3}"/>
    <hyperlink ref="H16" r:id="rId13" display="https://www.steinel.de/index.php?cl=details&amp;anid=08b52237ba8453a9fb0cfa2a378b77b9&amp;cnid=8e9358961a49b3394f3828a442d01208&amp;lang=0&amp;varselid%5b0%5d=69600bc73dda4358a9d4e366a200ba2c" xr:uid="{44AD002E-9E5D-ED45-AA7C-9C7AFF797460}"/>
    <hyperlink ref="H17" r:id="rId14" display="https://www.steinel.de/index.php?cl=details&amp;anid=006b491dc2e7155b928e80b7328cb76d&amp;cnid=8e9358961a49b3394f3828a442d01208&amp;lang=0&amp;varselid%5b0%5d=69600bc73dda4358a9d4e366a200ba2c" xr:uid="{FB367841-ECF0-BC41-92CD-1DE45756BD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Kaylen Reddy</dc:creator>
  <cp:lastModifiedBy>Kaylen Reddy</cp:lastModifiedBy>
  <dcterms:created xsi:type="dcterms:W3CDTF">2026-07-27T07:08:22Z</dcterms:created>
  <dcterms:modified xsi:type="dcterms:W3CDTF">2026-07-27T07:17:34Z</dcterms:modified>
</cp:coreProperties>
</file>